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dev\asd\project_grade\"/>
    </mc:Choice>
  </mc:AlternateContent>
  <xr:revisionPtr revIDLastSave="0" documentId="13_ncr:1_{B251CF46-6F5A-4B78-AF22-FD533FA816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لايحه قديمه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" i="8" l="1"/>
  <c r="AC4" i="8" s="1"/>
  <c r="AA4" i="8"/>
  <c r="AB4" i="8"/>
  <c r="AD4" i="8"/>
  <c r="Z3" i="8"/>
  <c r="AC3" i="8" s="1"/>
  <c r="AA3" i="8"/>
  <c r="AB3" i="8"/>
  <c r="AD3" i="8"/>
  <c r="AF4" i="8" l="1"/>
  <c r="AE4" i="8"/>
  <c r="AF3" i="8"/>
  <c r="AE3" i="8"/>
</calcChain>
</file>

<file path=xl/sharedStrings.xml><?xml version="1.0" encoding="utf-8"?>
<sst xmlns="http://schemas.openxmlformats.org/spreadsheetml/2006/main" count="54" uniqueCount="30">
  <si>
    <t>المستوى الاول</t>
  </si>
  <si>
    <t>المستوى الرابع</t>
  </si>
  <si>
    <t>المستوى الثاني</t>
  </si>
  <si>
    <t>المسوى الثالث</t>
  </si>
  <si>
    <t>مجموع التراكمي</t>
  </si>
  <si>
    <t>عدد الساعات</t>
  </si>
  <si>
    <t>تراكمي المستوى الاول</t>
  </si>
  <si>
    <t>التقدير</t>
  </si>
  <si>
    <t>التقدير الوصفي</t>
  </si>
  <si>
    <t>المجوع بالدرجات</t>
  </si>
  <si>
    <t>تراكمي المستوى الثاني</t>
  </si>
  <si>
    <t>المجموع بالدرجات</t>
  </si>
  <si>
    <t>تراكمي المستوى الثالث</t>
  </si>
  <si>
    <t>تراكمي المستوى الرابع</t>
  </si>
  <si>
    <t xml:space="preserve"> التقدير الوصفي</t>
  </si>
  <si>
    <t>الاسم</t>
  </si>
  <si>
    <t>المجموع الكلي للتراكمي</t>
  </si>
  <si>
    <t>المجموع الكلي لساعات التخرج</t>
  </si>
  <si>
    <t xml:space="preserve">عدد الساعات </t>
  </si>
  <si>
    <t>المعدل التراكمي للطالب</t>
  </si>
  <si>
    <t>المجموعات بالدرجات</t>
  </si>
  <si>
    <t>التقدير الكلي</t>
  </si>
  <si>
    <t>التقدير الوصفي الكلي</t>
  </si>
  <si>
    <t>C</t>
  </si>
  <si>
    <t>جيد</t>
  </si>
  <si>
    <t>F</t>
  </si>
  <si>
    <t>ضعيف</t>
  </si>
  <si>
    <t>D</t>
  </si>
  <si>
    <t>مقبول</t>
  </si>
  <si>
    <t>احمد عبدالغنى محمد حسن خلاف متولى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</si>
</sst>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theme="1"/>
      <name val="Traditional Arabic"/>
      <charset val="134"/>
    </font>
    <font>
      <b/>
      <sz val="9"/>
      <color theme="1"/>
      <name val="Arial"/>
      <charset val="134"/>
    </font>
    <font>
      <sz val="11"/>
      <color rgb="FF00000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2" fillId="2" borderId="6" xfId="0" applyFont="1" applyFill="1" applyBorder="1" applyAlignment="1">
      <alignment horizontal="center" vertical="center" textRotation="180" wrapText="1"/>
    </xf>
    <xf numFmtId="0" fontId="2" fillId="2" borderId="7" xfId="0" applyFont="1" applyFill="1" applyBorder="1" applyAlignment="1">
      <alignment horizontal="center" vertical="center" textRotation="180" wrapText="1"/>
    </xf>
    <xf numFmtId="2" fontId="2" fillId="2" borderId="7" xfId="0" applyNumberFormat="1" applyFont="1" applyFill="1" applyBorder="1" applyAlignment="1">
      <alignment horizontal="center" vertical="center" textRotation="180" wrapText="1"/>
    </xf>
    <xf numFmtId="2" fontId="2" fillId="2" borderId="8" xfId="0" applyNumberFormat="1" applyFont="1" applyFill="1" applyBorder="1" applyAlignment="1">
      <alignment horizontal="center" vertical="center" textRotation="180" wrapText="1"/>
    </xf>
    <xf numFmtId="2" fontId="2" fillId="2" borderId="8" xfId="0" applyNumberFormat="1" applyFont="1" applyFill="1" applyBorder="1" applyAlignment="1">
      <alignment horizontal="center" vertical="center" textRotation="90" wrapText="1"/>
    </xf>
    <xf numFmtId="2" fontId="2" fillId="2" borderId="9" xfId="0" applyNumberFormat="1" applyFont="1" applyFill="1" applyBorder="1" applyAlignment="1">
      <alignment horizontal="center" vertical="center" textRotation="90" wrapText="1"/>
    </xf>
    <xf numFmtId="0" fontId="2" fillId="2" borderId="10" xfId="0" applyFont="1" applyFill="1" applyBorder="1" applyAlignment="1">
      <alignment horizontal="center" vertical="center" textRotation="180" wrapText="1"/>
    </xf>
    <xf numFmtId="0" fontId="1" fillId="2" borderId="9" xfId="0" applyFont="1" applyFill="1" applyBorder="1" applyAlignment="1">
      <alignment horizontal="center" vertical="center" wrapText="1" readingOrder="2"/>
    </xf>
    <xf numFmtId="2" fontId="1" fillId="0" borderId="9" xfId="0" applyNumberFormat="1" applyFont="1" applyBorder="1" applyAlignment="1">
      <alignment horizontal="center" vertical="center" wrapText="1" readingOrder="2"/>
    </xf>
    <xf numFmtId="0" fontId="1" fillId="0" borderId="9" xfId="0" applyFont="1" applyBorder="1" applyAlignment="1">
      <alignment horizontal="center" vertical="center" textRotation="90" wrapText="1" readingOrder="2"/>
    </xf>
    <xf numFmtId="1" fontId="1" fillId="0" borderId="9" xfId="0" applyNumberFormat="1" applyFont="1" applyBorder="1" applyAlignment="1">
      <alignment horizontal="center" vertical="center" textRotation="90" wrapText="1" readingOrder="2"/>
    </xf>
    <xf numFmtId="2" fontId="2" fillId="2" borderId="10" xfId="0" applyNumberFormat="1" applyFont="1" applyFill="1" applyBorder="1" applyAlignment="1">
      <alignment horizontal="center" vertical="center" textRotation="180" wrapText="1"/>
    </xf>
    <xf numFmtId="0" fontId="1" fillId="0" borderId="9" xfId="0" applyFont="1" applyBorder="1" applyAlignment="1">
      <alignment horizontal="center" vertical="center" wrapText="1" readingOrder="2"/>
    </xf>
    <xf numFmtId="2" fontId="2" fillId="2" borderId="7" xfId="0" applyNumberFormat="1" applyFont="1" applyFill="1" applyBorder="1" applyAlignment="1">
      <alignment horizontal="center" vertical="center" textRotation="90" wrapText="1"/>
    </xf>
    <xf numFmtId="2" fontId="1" fillId="3" borderId="9" xfId="0" applyNumberFormat="1" applyFont="1" applyFill="1" applyBorder="1" applyAlignment="1">
      <alignment horizontal="center" vertical="center" wrapText="1" readingOrder="2"/>
    </xf>
    <xf numFmtId="2" fontId="2" fillId="2" borderId="14" xfId="0" applyNumberFormat="1" applyFont="1" applyFill="1" applyBorder="1" applyAlignment="1">
      <alignment horizontal="center" vertical="center" textRotation="180" wrapText="1"/>
    </xf>
    <xf numFmtId="2" fontId="2" fillId="2" borderId="15" xfId="0" applyNumberFormat="1" applyFont="1" applyFill="1" applyBorder="1" applyAlignment="1">
      <alignment horizontal="center" vertical="center" textRotation="180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31000000}"/>
  </cellStyles>
  <dxfs count="3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4"/>
  <sheetViews>
    <sheetView tabSelected="1" topLeftCell="D1" workbookViewId="0">
      <selection activeCell="AF8" sqref="AF8"/>
    </sheetView>
  </sheetViews>
  <sheetFormatPr defaultColWidth="9.140625" defaultRowHeight="15"/>
  <cols>
    <col min="1" max="1" width="29.140625" customWidth="1"/>
  </cols>
  <sheetData>
    <row r="1" spans="1:32" ht="18" customHeight="1">
      <c r="A1" s="24" t="s">
        <v>15</v>
      </c>
      <c r="B1" s="18" t="s">
        <v>0</v>
      </c>
      <c r="C1" s="19"/>
      <c r="D1" s="19"/>
      <c r="E1" s="19"/>
      <c r="F1" s="19"/>
      <c r="G1" s="20"/>
      <c r="H1" s="18" t="s">
        <v>2</v>
      </c>
      <c r="I1" s="19"/>
      <c r="J1" s="19"/>
      <c r="K1" s="19"/>
      <c r="L1" s="19"/>
      <c r="M1" s="20"/>
      <c r="N1" s="18" t="s">
        <v>3</v>
      </c>
      <c r="O1" s="19"/>
      <c r="P1" s="19"/>
      <c r="Q1" s="19"/>
      <c r="R1" s="19"/>
      <c r="S1" s="20"/>
      <c r="T1" s="21" t="s">
        <v>1</v>
      </c>
      <c r="U1" s="22"/>
      <c r="V1" s="22"/>
      <c r="W1" s="22"/>
      <c r="X1" s="22"/>
      <c r="Y1" s="23"/>
      <c r="Z1" s="16" t="s">
        <v>16</v>
      </c>
      <c r="AA1" s="16" t="s">
        <v>17</v>
      </c>
      <c r="AB1" s="16" t="s">
        <v>18</v>
      </c>
      <c r="AC1" s="16" t="s">
        <v>19</v>
      </c>
      <c r="AD1" s="16" t="s">
        <v>20</v>
      </c>
      <c r="AE1" s="16" t="s">
        <v>21</v>
      </c>
      <c r="AF1" s="16" t="s">
        <v>22</v>
      </c>
    </row>
    <row r="2" spans="1:32" ht="31.5">
      <c r="A2" s="25"/>
      <c r="B2" s="1" t="s">
        <v>4</v>
      </c>
      <c r="C2" s="2" t="s">
        <v>5</v>
      </c>
      <c r="D2" s="3" t="s">
        <v>6</v>
      </c>
      <c r="E2" s="4" t="s">
        <v>7</v>
      </c>
      <c r="F2" s="5" t="s">
        <v>8</v>
      </c>
      <c r="G2" s="6" t="s">
        <v>9</v>
      </c>
      <c r="H2" s="7" t="s">
        <v>4</v>
      </c>
      <c r="I2" s="3" t="s">
        <v>5</v>
      </c>
      <c r="J2" s="3" t="s">
        <v>10</v>
      </c>
      <c r="K2" s="4" t="s">
        <v>7</v>
      </c>
      <c r="L2" s="5" t="s">
        <v>8</v>
      </c>
      <c r="M2" s="6" t="s">
        <v>11</v>
      </c>
      <c r="N2" s="12" t="s">
        <v>4</v>
      </c>
      <c r="O2" s="3" t="s">
        <v>5</v>
      </c>
      <c r="P2" s="3" t="s">
        <v>12</v>
      </c>
      <c r="Q2" s="4" t="s">
        <v>7</v>
      </c>
      <c r="R2" s="5" t="s">
        <v>8</v>
      </c>
      <c r="S2" s="5" t="s">
        <v>11</v>
      </c>
      <c r="T2" s="3" t="s">
        <v>4</v>
      </c>
      <c r="U2" s="3" t="s">
        <v>5</v>
      </c>
      <c r="V2" s="3" t="s">
        <v>13</v>
      </c>
      <c r="W2" s="3" t="s">
        <v>7</v>
      </c>
      <c r="X2" s="14" t="s">
        <v>14</v>
      </c>
      <c r="Y2" s="6" t="s">
        <v>11</v>
      </c>
      <c r="Z2" s="17"/>
      <c r="AA2" s="17"/>
      <c r="AB2" s="17"/>
      <c r="AC2" s="17"/>
      <c r="AD2" s="17"/>
      <c r="AE2" s="17"/>
      <c r="AF2" s="17"/>
    </row>
    <row r="3" spans="1:32" ht="32.25">
      <c r="A3" s="8" t="s">
        <v>29</v>
      </c>
      <c r="B3" s="9">
        <v>26.4</v>
      </c>
      <c r="C3" s="9">
        <v>15</v>
      </c>
      <c r="D3" s="9">
        <v>1.76</v>
      </c>
      <c r="E3" s="9" t="s">
        <v>23</v>
      </c>
      <c r="F3" s="10" t="s">
        <v>24</v>
      </c>
      <c r="G3" s="11">
        <v>250</v>
      </c>
      <c r="H3" s="9">
        <v>62.099999999999987</v>
      </c>
      <c r="I3" s="13">
        <v>42</v>
      </c>
      <c r="J3" s="9">
        <v>1.48</v>
      </c>
      <c r="K3" s="9" t="s">
        <v>25</v>
      </c>
      <c r="L3" s="10" t="s">
        <v>26</v>
      </c>
      <c r="M3" s="10">
        <v>738</v>
      </c>
      <c r="N3" s="9">
        <v>51.9</v>
      </c>
      <c r="O3" s="13">
        <v>36</v>
      </c>
      <c r="P3" s="9">
        <v>1.44</v>
      </c>
      <c r="Q3" s="9" t="s">
        <v>25</v>
      </c>
      <c r="R3" s="10" t="s">
        <v>26</v>
      </c>
      <c r="S3" s="10">
        <v>510</v>
      </c>
      <c r="T3" s="10">
        <v>147.9</v>
      </c>
      <c r="U3" s="10">
        <v>57</v>
      </c>
      <c r="V3" s="10">
        <v>2.59</v>
      </c>
      <c r="W3" s="10" t="s">
        <v>23</v>
      </c>
      <c r="X3" s="10" t="s">
        <v>24</v>
      </c>
      <c r="Y3" s="10">
        <v>1283</v>
      </c>
      <c r="Z3" s="9">
        <f t="shared" ref="Z3" si="0">SUM(T3,N3,H3,B3)</f>
        <v>288.29999999999995</v>
      </c>
      <c r="AA3" s="9">
        <f t="shared" ref="AA3" si="1">SUM(U3,O3,I3,C3)</f>
        <v>150</v>
      </c>
      <c r="AB3" s="9">
        <f t="shared" ref="AB3" si="2">SUM(U3,O3,I3,C3)</f>
        <v>150</v>
      </c>
      <c r="AC3" s="15">
        <f t="shared" ref="AC3" si="3">Z3/AA3</f>
        <v>1.9219999999999997</v>
      </c>
      <c r="AD3" s="11">
        <f t="shared" ref="AD3" si="4">SUM(Y3,S3,M3,G3)</f>
        <v>2781</v>
      </c>
      <c r="AE3" s="9" t="str">
        <f t="shared" ref="AE3" si="5">IF(AC3&gt;=3.7,"A",IF(AC3&gt;=3,"B",IF(AC3&gt;=2.3,"C",IF(AC3&gt;=1.7,"D","F"))))</f>
        <v>D</v>
      </c>
      <c r="AF3" s="10" t="str">
        <f t="shared" ref="AF3" si="6">IF(AC3&gt;=3.7,"ممتاز",IF(AC3&gt;=3,"جيد جدا",IF(AC3&gt;=2.3,"جيد",IF(AC3&gt;=1.7,"مقبول","ضعيف"))))</f>
        <v>مقبول</v>
      </c>
    </row>
    <row r="4" spans="1:32" ht="32.25">
      <c r="A4" s="8" t="s">
        <v>29</v>
      </c>
      <c r="B4" s="9">
        <v>26.4</v>
      </c>
      <c r="C4" s="9">
        <v>15</v>
      </c>
      <c r="D4" s="9">
        <v>1.76</v>
      </c>
      <c r="E4" s="9" t="s">
        <v>27</v>
      </c>
      <c r="F4" s="10" t="s">
        <v>28</v>
      </c>
      <c r="G4" s="11">
        <v>250</v>
      </c>
      <c r="H4" s="9">
        <v>70.100000000000009</v>
      </c>
      <c r="I4" s="13">
        <v>42</v>
      </c>
      <c r="J4" s="9">
        <v>1.67</v>
      </c>
      <c r="K4" s="9" t="s">
        <v>25</v>
      </c>
      <c r="L4" s="10" t="s">
        <v>26</v>
      </c>
      <c r="M4" s="10">
        <v>804</v>
      </c>
      <c r="N4" s="9">
        <v>51.9</v>
      </c>
      <c r="O4" s="13">
        <v>36</v>
      </c>
      <c r="P4" s="9">
        <v>1.44</v>
      </c>
      <c r="Q4" s="9" t="s">
        <v>25</v>
      </c>
      <c r="R4" s="10" t="s">
        <v>26</v>
      </c>
      <c r="S4" s="10">
        <v>510</v>
      </c>
      <c r="T4" s="10">
        <v>147.9</v>
      </c>
      <c r="U4" s="10">
        <v>57</v>
      </c>
      <c r="V4" s="10">
        <v>2.59</v>
      </c>
      <c r="W4" s="10" t="s">
        <v>23</v>
      </c>
      <c r="X4" s="10" t="s">
        <v>24</v>
      </c>
      <c r="Y4" s="10">
        <v>1283</v>
      </c>
      <c r="Z4" s="9">
        <f t="shared" ref="Z4" si="7">SUM(T4,N4,H4,B4)</f>
        <v>296.3</v>
      </c>
      <c r="AA4" s="9">
        <f t="shared" ref="AA4" si="8">SUM(U4,O4,I4,C4)</f>
        <v>150</v>
      </c>
      <c r="AB4" s="9">
        <f t="shared" ref="AB4" si="9">SUM(U4,O4,I4,C4)</f>
        <v>150</v>
      </c>
      <c r="AC4" s="15">
        <f t="shared" ref="AC4" si="10">Z4/AA4</f>
        <v>1.9753333333333334</v>
      </c>
      <c r="AD4" s="11">
        <f t="shared" ref="AD4" si="11">SUM(Y4,S4,M4,G4)</f>
        <v>2847</v>
      </c>
      <c r="AE4" s="9" t="str">
        <f t="shared" ref="AE4" si="12">IF(AC4&gt;=3.7,"A",IF(AC4&gt;=3,"B",IF(AC4&gt;=2.3,"C",IF(AC4&gt;=1.7,"D","F"))))</f>
        <v>D</v>
      </c>
      <c r="AF4" s="10" t="str">
        <f t="shared" ref="AF4" si="13">IF(AC4&gt;=3.7,"ممتاز",IF(AC4&gt;=3,"جيد جدا",IF(AC4&gt;=2.3,"جيد",IF(AC4&gt;=1.7,"مقبول","ضعيف"))))</f>
        <v>مقبول</v>
      </c>
    </row>
  </sheetData>
  <mergeCells count="12">
    <mergeCell ref="B1:G1"/>
    <mergeCell ref="H1:M1"/>
    <mergeCell ref="N1:S1"/>
    <mergeCell ref="T1:Y1"/>
    <mergeCell ref="A1:A2"/>
    <mergeCell ref="AE1:AE2"/>
    <mergeCell ref="AF1:AF2"/>
    <mergeCell ref="Z1:Z2"/>
    <mergeCell ref="AA1:AA2"/>
    <mergeCell ref="AB1:AB2"/>
    <mergeCell ref="AC1:AC2"/>
    <mergeCell ref="AD1:AD2"/>
  </mergeCells>
  <conditionalFormatting sqref="A1:A2">
    <cfRule type="duplicateValues" dxfId="2" priority="24"/>
  </conditionalFormatting>
  <conditionalFormatting sqref="C1:C2">
    <cfRule type="cellIs" dxfId="1" priority="7" operator="lessThan">
      <formula>49</formula>
    </cfRule>
  </conditionalFormatting>
  <conditionalFormatting sqref="A3:A4">
    <cfRule type="duplicateValues" dxfId="0" priority="2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لايحه قديمه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Bashar</dc:creator>
  <cp:lastModifiedBy>bashar.gamal</cp:lastModifiedBy>
  <dcterms:created xsi:type="dcterms:W3CDTF">2025-07-21T09:59:00Z</dcterms:created>
  <dcterms:modified xsi:type="dcterms:W3CDTF">2026-07-12T05:02:05Z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790B535C3DA94C87858208F8D78B8838_12</vt:lpwstr>
  </property>
  <property fmtid="{D5CDD505-2E9C-101B-9397-08002B2CF9AE}" pid="3" name="KSOProductBuildVer">
    <vt:lpwstr>1033-12.2.0.23196</vt:lpwstr>
  </property>
</Properties>
</file>